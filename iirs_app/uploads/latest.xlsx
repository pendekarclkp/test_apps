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bankindonesiagov-my.sharepoint.com/personal/hilmy_munis_bi_go_id/Documents/SESMUBI 2026/Final Project Kelompok 14/Analisis DATA BAB 4 IIRS/"/>
    </mc:Choice>
  </mc:AlternateContent>
  <xr:revisionPtr revIDLastSave="125" documentId="13_ncr:1_{13A1985F-C9FA-47ED-B1BC-7375BFE6E13A}" xr6:coauthVersionLast="47" xr6:coauthVersionMax="47" xr10:uidLastSave="{4A2F510A-2109-4613-B784-F85864BBB2A0}"/>
  <bookViews>
    <workbookView xWindow="-110" yWindow="-110" windowWidth="19420" windowHeight="11500" xr2:uid="{D9861903-4DD6-443F-BDCB-8CE2F4A777AE}"/>
  </bookViews>
  <sheets>
    <sheet name="GET THINGS DONE!" sheetId="4" r:id="rId1"/>
    <sheet name="Source Scoring" sheetId="1" r:id="rId2"/>
    <sheet name="IIRS Integration" sheetId="2" r:id="rId3"/>
    <sheet name="Indikator EWS" sheetId="3" r:id="rId4"/>
  </sheets>
  <definedNames>
    <definedName name="_xlnm._FilterDatabase" localSheetId="2" hidden="1">'IIRS Integration'!$A$3:$G$6</definedName>
    <definedName name="_xlnm._FilterDatabase" localSheetId="1" hidden="1">'Source Scoring'!$A$4:$E$7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6" i="2"/>
  <c r="E5" i="1"/>
  <c r="E6" i="1"/>
  <c r="E7" i="1"/>
  <c r="C6" i="2" s="1"/>
  <c r="E11" i="1"/>
  <c r="E12" i="1"/>
  <c r="E13" i="1"/>
  <c r="B6" i="2"/>
  <c r="B4" i="2"/>
  <c r="D4" i="2" s="1"/>
  <c r="C4" i="2"/>
  <c r="B5" i="2"/>
  <c r="C5" i="2"/>
  <c r="F6" i="2" l="1"/>
  <c r="F4" i="2"/>
  <c r="F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Sentiment Risk Analyst</author>
  </authors>
  <commentList>
    <comment ref="E5" authorId="0" shapeId="0" xr:uid="{C346D05F-E9FF-48B1-BEA8-B1CB7866ED37}">
      <text>
        <r>
          <rPr>
            <sz val="11"/>
            <color theme="1"/>
            <rFont val="Calibri"/>
            <family val="2"/>
            <scheme val="minor"/>
          </rPr>
          <t>Source Score = 100 × [(Bobot NS×NS)+(Bobot VA×VA)+(Bobot ER×ER)]. Bobot ada di 00_MODEL_CONFIG.</t>
        </r>
      </text>
    </comment>
    <comment ref="E11" authorId="0" shapeId="0" xr:uid="{369283E7-403A-4CB1-9EB3-6A4BB51F3C64}">
      <text>
        <r>
          <rPr>
            <sz val="11"/>
            <color theme="1"/>
            <rFont val="Calibri"/>
            <family val="2"/>
            <scheme val="minor"/>
          </rPr>
          <t>Source Score = 100 × [(Bobot NS×NS)+(Bobot VA×VA)+(Bobot ER×ER)]. Bobot ada di 00_MODEL_CONFIG.</t>
        </r>
      </text>
    </comment>
  </commentList>
</comments>
</file>

<file path=xl/sharedStrings.xml><?xml version="1.0" encoding="utf-8"?>
<sst xmlns="http://schemas.openxmlformats.org/spreadsheetml/2006/main" count="69" uniqueCount="55">
  <si>
    <t>Source Score Data</t>
  </si>
  <si>
    <t>Sentrix Telkomsel</t>
  </si>
  <si>
    <t>Issue Cluster</t>
  </si>
  <si>
    <t>NS</t>
  </si>
  <si>
    <t>VA</t>
  </si>
  <si>
    <t>ER</t>
  </si>
  <si>
    <t>Source Score</t>
  </si>
  <si>
    <t>Rupiah</t>
  </si>
  <si>
    <t>Inflasi</t>
  </si>
  <si>
    <t>BI-Rate</t>
  </si>
  <si>
    <t>No Limit</t>
  </si>
  <si>
    <t>Integrasi IIRS</t>
  </si>
  <si>
    <t>Score NoLimit (Bobot 40%)</t>
  </si>
  <si>
    <t>Score Sentrix 
(Bobot 60%)</t>
  </si>
  <si>
    <t>IIRS</t>
  </si>
  <si>
    <t>Kategori IIRS</t>
  </si>
  <si>
    <t>Crisis Watch</t>
  </si>
  <si>
    <t>Tindaklanjut
 Communication Protocol Playbook</t>
  </si>
  <si>
    <t>Ringan</t>
  </si>
  <si>
    <t>Sedang</t>
  </si>
  <si>
    <t>Crisis</t>
  </si>
  <si>
    <t>0-35</t>
  </si>
  <si>
    <t>=&gt;60</t>
  </si>
  <si>
    <t>50-59</t>
  </si>
  <si>
    <t>36-49</t>
  </si>
  <si>
    <t>TL</t>
  </si>
  <si>
    <t>No</t>
  </si>
  <si>
    <t>Indikator EWS</t>
  </si>
  <si>
    <t>Playbook 1</t>
  </si>
  <si>
    <t>Playbook 2</t>
  </si>
  <si>
    <t>Playbook 3</t>
  </si>
  <si>
    <t>Pengerjaan periode 13 (Rabu) s.d. 16 (Sabtu) 2026</t>
  </si>
  <si>
    <t xml:space="preserve">17  (Minggu) Pukul 09.00 WIB </t>
  </si>
  <si>
    <t>BAB 4</t>
  </si>
  <si>
    <t>4.1 Hasil Validasi Sentimen melalui AI Recheck</t>
  </si>
  <si>
    <t>Ridwan &amp; Rino &amp; Hilmy</t>
  </si>
  <si>
    <t>+ revisi PPT Sebelumnya + membuat Slide PPT yang baru</t>
  </si>
  <si>
    <t>Konsolidasi Bersama &amp; pengecekan typo dan substansi</t>
  </si>
  <si>
    <t>4.2 Perhitungan dan Interpretasi Source Score</t>
  </si>
  <si>
    <t>4.3 Perhitungan IIRS, Klasifikasi Tier, dan Sinyal Strategis Lintas-Klaster</t>
  </si>
  <si>
    <t>4.4 Tiered Communication Response Protocol (Inti Bab 4)
4.4.1 Playbook 1 — Kategori Ringan (IIRS 0–35)
4.4.2 Playbook 2 — Kategori Sedang (IIRS 36–49)
4.4.3 Playbook Crisis Watch — Zona Pre-Krisis (IIRS 50–59 pada Klaster Strategis)
4.4.4 Playbook 3 — Kategori Crisis (IIRS ≥60)</t>
  </si>
  <si>
    <t>Hilmy</t>
  </si>
  <si>
    <t>4.5 Aplikasi Protokol pada Kondisi Aktual (Periode April 2026)</t>
  </si>
  <si>
    <t>Yudo</t>
  </si>
  <si>
    <t>4.6 Benchmarking Protokol Respons dengan Bank Sentral Global</t>
  </si>
  <si>
    <t>4.7 Keselarasan Strategis dengan RBS PS 11 dan RIKABI 2025–2030</t>
  </si>
  <si>
    <t>BAB 5</t>
  </si>
  <si>
    <t>5.1 Kesimpulan</t>
  </si>
  <si>
    <t>Yudo &amp; Hilmy</t>
  </si>
  <si>
    <t>5.2 Implikasi Strategis bagi Bank Indonesia</t>
  </si>
  <si>
    <t>5.3 Saran
5.3.1 Saran Jangka Pendek (3–6 bulan, quick wins)
5.3.2 Saran Jangka Menengah (6–18 bulan, capacity building)
5.3.3 Saran Jangka Panjang (&gt;18 bulan, integrasi RIKABI)</t>
  </si>
  <si>
    <t>Ridwan &amp; Rino</t>
  </si>
  <si>
    <t>5.4 Keterbatasan dan Agenda Riset Lanjutan</t>
  </si>
  <si>
    <t>link claude bab 4 dan 5</t>
  </si>
  <si>
    <t>https://claude.ai/share/311a631d-7edd-431a-bfd1-b97a5664f052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</si>
</sst>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666666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8F9FA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2" fontId="6" fillId="0" borderId="1" xfId="0" applyNumberFormat="1" applyFont="1" applyBorder="1" applyAlignment="1">
      <alignment vertical="top" wrapText="1"/>
    </xf>
    <xf numFmtId="2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0" fontId="8" fillId="7" borderId="3" xfId="0" applyFont="1" applyFill="1" applyBorder="1" applyAlignment="1">
      <alignment horizontal="center"/>
    </xf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 applyAlignment="1">
      <alignment wrapText="1"/>
    </xf>
    <xf numFmtId="0" fontId="0" fillId="12" borderId="2" xfId="0" applyFill="1" applyBorder="1"/>
    <xf numFmtId="0" fontId="0" fillId="13" borderId="2" xfId="0" applyFill="1" applyBorder="1"/>
    <xf numFmtId="0" fontId="0" fillId="14" borderId="2" xfId="0" applyFill="1" applyBorder="1"/>
    <xf numFmtId="0" fontId="0" fillId="15" borderId="2" xfId="0" applyFill="1" applyBorder="1"/>
    <xf numFmtId="0" fontId="0" fillId="16" borderId="2" xfId="0" applyFill="1" applyBorder="1" applyAlignment="1">
      <alignment wrapText="1"/>
    </xf>
    <xf numFmtId="0" fontId="9" fillId="0" borderId="0" xfId="1" applyAlignment="1">
      <alignment horizontal="center"/>
    </xf>
    <xf numFmtId="0" fontId="0" fillId="0" borderId="0" xfId="0" applyAlignment="1">
      <alignment horizontal="center"/>
    </xf>
    <xf numFmtId="0" fontId="0" fillId="0" borderId="2" xfId="0" quotePrefix="1" applyBorder="1" applyAlignment="1">
      <alignment horizontal="center" vertical="center" wrapText="1"/>
    </xf>
    <xf numFmtId="0" fontId="0" fillId="0" borderId="0" xfId="0" quotePrefix="1" applyAlignment="1">
      <alignment vertical="center" wrapText="1"/>
    </xf>
    <xf numFmtId="0" fontId="8" fillId="17" borderId="0" xfId="0" applyFont="1" applyFill="1" applyAlignment="1">
      <alignment horizontal="center"/>
    </xf>
    <xf numFmtId="0" fontId="0" fillId="0" borderId="2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laude.ai/share/311a631d-7edd-431a-bfd1-b97a5664f052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1A2F2-3860-47CB-ADAE-23B5C82651D9}">
  <dimension ref="B2:F15"/>
  <sheetViews>
    <sheetView tabSelected="1" workbookViewId="0">
      <selection activeCell="G12" sqref="G12"/>
    </sheetView>
  </sheetViews>
  <sheetFormatPr defaultRowHeight="14.5" x14ac:dyDescent="0.35"/>
  <cols>
    <col min="2" max="2" width="26.90625" bestFit="1" customWidth="1"/>
    <col min="3" max="3" width="58.90625" customWidth="1"/>
    <col min="4" max="4" width="20.81640625" customWidth="1"/>
    <col min="5" max="5" width="12.26953125" customWidth="1"/>
    <col min="6" max="6" width="26.36328125" customWidth="1"/>
  </cols>
  <sheetData>
    <row r="2" spans="2:6" x14ac:dyDescent="0.35">
      <c r="B2" s="23" t="s">
        <v>31</v>
      </c>
      <c r="C2" s="23"/>
      <c r="D2" s="23"/>
      <c r="E2" s="23"/>
      <c r="F2" s="37" t="s">
        <v>32</v>
      </c>
    </row>
    <row r="3" spans="2:6" x14ac:dyDescent="0.35">
      <c r="B3" s="22" t="s">
        <v>33</v>
      </c>
      <c r="C3" s="24" t="s">
        <v>34</v>
      </c>
      <c r="D3" s="22" t="s">
        <v>35</v>
      </c>
      <c r="E3" s="35" t="s">
        <v>36</v>
      </c>
      <c r="F3" s="38" t="s">
        <v>37</v>
      </c>
    </row>
    <row r="4" spans="2:6" x14ac:dyDescent="0.35">
      <c r="B4" s="22"/>
      <c r="C4" s="25" t="s">
        <v>38</v>
      </c>
      <c r="D4" s="22"/>
      <c r="E4" s="35"/>
      <c r="F4" s="38"/>
    </row>
    <row r="5" spans="2:6" x14ac:dyDescent="0.35">
      <c r="B5" s="22"/>
      <c r="C5" s="26" t="s">
        <v>39</v>
      </c>
      <c r="D5" s="22"/>
      <c r="E5" s="35"/>
      <c r="F5" s="38"/>
    </row>
    <row r="6" spans="2:6" ht="87" x14ac:dyDescent="0.35">
      <c r="B6" s="22"/>
      <c r="C6" s="27" t="s">
        <v>40</v>
      </c>
      <c r="D6" s="18" t="s">
        <v>41</v>
      </c>
      <c r="E6" s="35"/>
      <c r="F6" s="38"/>
    </row>
    <row r="7" spans="2:6" x14ac:dyDescent="0.35">
      <c r="B7" s="22"/>
      <c r="C7" s="26" t="s">
        <v>42</v>
      </c>
      <c r="D7" s="22" t="s">
        <v>43</v>
      </c>
      <c r="E7" s="35"/>
      <c r="F7" s="38"/>
    </row>
    <row r="8" spans="2:6" x14ac:dyDescent="0.35">
      <c r="B8" s="22"/>
      <c r="C8" s="28" t="s">
        <v>44</v>
      </c>
      <c r="D8" s="22"/>
      <c r="E8" s="35"/>
      <c r="F8" s="38"/>
    </row>
    <row r="9" spans="2:6" x14ac:dyDescent="0.35">
      <c r="B9" s="22"/>
      <c r="C9" s="29" t="s">
        <v>45</v>
      </c>
      <c r="D9" s="22"/>
      <c r="E9" s="35"/>
      <c r="F9" s="38"/>
    </row>
    <row r="10" spans="2:6" x14ac:dyDescent="0.35">
      <c r="B10" s="22" t="s">
        <v>46</v>
      </c>
      <c r="C10" s="30" t="s">
        <v>47</v>
      </c>
      <c r="D10" s="22" t="s">
        <v>48</v>
      </c>
      <c r="E10" s="35"/>
      <c r="F10" s="38"/>
    </row>
    <row r="11" spans="2:6" x14ac:dyDescent="0.35">
      <c r="B11" s="22"/>
      <c r="C11" s="31" t="s">
        <v>49</v>
      </c>
      <c r="D11" s="22"/>
      <c r="E11" s="35"/>
      <c r="F11" s="38"/>
    </row>
    <row r="12" spans="2:6" ht="58" x14ac:dyDescent="0.35">
      <c r="B12" s="22"/>
      <c r="C12" s="32" t="s">
        <v>50</v>
      </c>
      <c r="D12" s="22" t="s">
        <v>51</v>
      </c>
      <c r="E12" s="35"/>
      <c r="F12" s="38"/>
    </row>
    <row r="13" spans="2:6" x14ac:dyDescent="0.35">
      <c r="B13" s="22"/>
      <c r="C13" s="26" t="s">
        <v>52</v>
      </c>
      <c r="D13" s="22"/>
      <c r="E13" s="35"/>
      <c r="F13" s="38"/>
    </row>
    <row r="14" spans="2:6" x14ac:dyDescent="0.35">
      <c r="E14" s="36"/>
    </row>
    <row r="15" spans="2:6" x14ac:dyDescent="0.35">
      <c r="B15" t="s">
        <v>53</v>
      </c>
      <c r="C15" s="33" t="s">
        <v>54</v>
      </c>
      <c r="D15" s="34"/>
      <c r="E15" s="34"/>
      <c r="F15" s="34"/>
    </row>
  </sheetData>
  <mergeCells count="10">
    <mergeCell ref="C15:F15"/>
    <mergeCell ref="B2:E2"/>
    <mergeCell ref="B3:B9"/>
    <mergeCell ref="D3:D5"/>
    <mergeCell ref="E3:E13"/>
    <mergeCell ref="F3:F13"/>
    <mergeCell ref="D7:D9"/>
    <mergeCell ref="B10:B13"/>
    <mergeCell ref="D10:D11"/>
    <mergeCell ref="D12:D13"/>
  </mergeCells>
  <hyperlinks>
    <hyperlink ref="C15" r:id="rId1" xr:uid="{0983E47E-7352-420D-B2A0-AE5CD332B27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DFA86-D479-4F95-AFCD-D13421D446C1}">
  <dimension ref="A1:E16"/>
  <sheetViews>
    <sheetView showGridLines="0" workbookViewId="0">
      <pane ySplit="4" topLeftCell="A5" activePane="bottomLeft" state="frozen"/>
      <selection sqref="A1:G1"/>
      <selection pane="bottomLeft" activeCell="E5" sqref="E5"/>
    </sheetView>
  </sheetViews>
  <sheetFormatPr defaultRowHeight="14.5" x14ac:dyDescent="0.35"/>
  <cols>
    <col min="1" max="1" width="42" customWidth="1"/>
    <col min="2" max="4" width="12" customWidth="1"/>
    <col min="5" max="5" width="17.453125" customWidth="1"/>
  </cols>
  <sheetData>
    <row r="1" spans="1:5" ht="26.15" customHeight="1" x14ac:dyDescent="0.35">
      <c r="A1" s="19" t="s">
        <v>0</v>
      </c>
      <c r="B1" s="20"/>
      <c r="C1" s="20"/>
      <c r="D1" s="20"/>
      <c r="E1" s="20"/>
    </row>
    <row r="2" spans="1:5" ht="26.15" customHeight="1" x14ac:dyDescent="0.35">
      <c r="B2" s="1"/>
      <c r="C2" s="1"/>
      <c r="D2" s="1"/>
      <c r="E2" s="1"/>
    </row>
    <row r="3" spans="1:5" ht="21" x14ac:dyDescent="0.35">
      <c r="A3" s="10" t="s">
        <v>1</v>
      </c>
      <c r="B3" s="1"/>
      <c r="C3" s="1"/>
      <c r="D3" s="1"/>
      <c r="E3" s="1"/>
    </row>
    <row r="4" spans="1:5" ht="30" customHeight="1" x14ac:dyDescent="0.35">
      <c r="A4" s="2" t="s">
        <v>2</v>
      </c>
      <c r="B4" s="3" t="s">
        <v>3</v>
      </c>
      <c r="C4" s="3" t="s">
        <v>4</v>
      </c>
      <c r="D4" s="3" t="s">
        <v>5</v>
      </c>
      <c r="E4" s="4" t="s">
        <v>6</v>
      </c>
    </row>
    <row r="5" spans="1:5" x14ac:dyDescent="0.35">
      <c r="A5" s="1" t="s">
        <v>7</v>
      </c>
      <c r="B5" s="5">
        <v>0.32600000000000001</v>
      </c>
      <c r="C5" s="5">
        <v>0.10100000000000001</v>
      </c>
      <c r="D5" s="5">
        <v>1</v>
      </c>
      <c r="E5" s="5">
        <f>100*((B5*40%)+(C5*30%)+(D5*30%))</f>
        <v>46.07</v>
      </c>
    </row>
    <row r="6" spans="1:5" x14ac:dyDescent="0.35">
      <c r="A6" s="1" t="s">
        <v>8</v>
      </c>
      <c r="B6" s="5">
        <v>0.14000000000000001</v>
      </c>
      <c r="C6" s="5">
        <v>0.53</v>
      </c>
      <c r="D6" s="5">
        <v>0.84</v>
      </c>
      <c r="E6" s="5">
        <f t="shared" ref="E6:E7" si="0">100*((B6*40%)+(C6*30%)+(D6*30%))</f>
        <v>46.7</v>
      </c>
    </row>
    <row r="7" spans="1:5" x14ac:dyDescent="0.35">
      <c r="A7" s="1" t="s">
        <v>9</v>
      </c>
      <c r="B7" s="11">
        <v>0.25</v>
      </c>
      <c r="C7" s="11">
        <v>0.17</v>
      </c>
      <c r="D7" s="11">
        <v>1</v>
      </c>
      <c r="E7" s="5">
        <f t="shared" si="0"/>
        <v>45.1</v>
      </c>
    </row>
    <row r="8" spans="1:5" x14ac:dyDescent="0.35">
      <c r="A8" s="1"/>
      <c r="B8" s="5"/>
      <c r="C8" s="5"/>
      <c r="D8" s="5"/>
      <c r="E8" s="5"/>
    </row>
    <row r="9" spans="1:5" ht="21" x14ac:dyDescent="0.35">
      <c r="A9" s="10" t="s">
        <v>10</v>
      </c>
      <c r="B9" s="1"/>
      <c r="C9" s="1"/>
      <c r="D9" s="1"/>
      <c r="E9" s="1"/>
    </row>
    <row r="10" spans="1:5" x14ac:dyDescent="0.35">
      <c r="A10" s="2" t="s">
        <v>2</v>
      </c>
      <c r="B10" s="3" t="s">
        <v>3</v>
      </c>
      <c r="C10" s="3" t="s">
        <v>4</v>
      </c>
      <c r="D10" s="3" t="s">
        <v>5</v>
      </c>
      <c r="E10" s="4" t="s">
        <v>6</v>
      </c>
    </row>
    <row r="11" spans="1:5" x14ac:dyDescent="0.35">
      <c r="A11" s="1" t="s">
        <v>7</v>
      </c>
      <c r="B11" s="5">
        <v>0.35</v>
      </c>
      <c r="C11" s="5">
        <v>0.17</v>
      </c>
      <c r="D11" s="5">
        <v>1</v>
      </c>
      <c r="E11" s="5">
        <f>100*((B11*40%)+(C11*30%)+(D11*30%))</f>
        <v>49.1</v>
      </c>
    </row>
    <row r="12" spans="1:5" x14ac:dyDescent="0.35">
      <c r="A12" s="1" t="s">
        <v>8</v>
      </c>
      <c r="B12" s="5">
        <v>0.14000000000000001</v>
      </c>
      <c r="C12" s="5">
        <v>0</v>
      </c>
      <c r="D12" s="5">
        <v>0.25</v>
      </c>
      <c r="E12" s="5">
        <f t="shared" ref="E12:E13" si="1">100*((B12*40%)+(C12*30%)+(D12*30%))</f>
        <v>13.100000000000001</v>
      </c>
    </row>
    <row r="13" spans="1:5" x14ac:dyDescent="0.35">
      <c r="A13" s="1" t="s">
        <v>9</v>
      </c>
      <c r="B13" s="11">
        <v>0.216</v>
      </c>
      <c r="C13" s="11">
        <v>0.30399999999999999</v>
      </c>
      <c r="D13" s="11">
        <v>0.27100000000000002</v>
      </c>
      <c r="E13" s="5">
        <f t="shared" si="1"/>
        <v>25.889999999999997</v>
      </c>
    </row>
    <row r="16" spans="1:5" x14ac:dyDescent="0.35">
      <c r="C16" s="12"/>
    </row>
  </sheetData>
  <autoFilter ref="A4:E7" xr:uid="{00000000-0009-0000-0000-000005000000}"/>
  <mergeCells count="1">
    <mergeCell ref="A1:E1"/>
  </mergeCells>
  <dataValidations count="1">
    <dataValidation type="decimal" allowBlank="1" sqref="B5:D8 B11:D13" xr:uid="{D4060797-33AC-40F9-BE53-1B3C58D46731}">
      <formula1>0</formula1>
      <formula2>1</formula2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E855-2595-46B4-8915-75CB0C3B1FA5}">
  <dimension ref="A1:G6"/>
  <sheetViews>
    <sheetView showGridLines="0" workbookViewId="0">
      <pane ySplit="3" topLeftCell="A4" activePane="bottomLeft" state="frozen"/>
      <selection sqref="A1:H1"/>
      <selection pane="bottomLeft" activeCell="C10" sqref="C10"/>
    </sheetView>
  </sheetViews>
  <sheetFormatPr defaultRowHeight="14.5" x14ac:dyDescent="0.35"/>
  <cols>
    <col min="1" max="1" width="42" customWidth="1"/>
    <col min="2" max="3" width="15" customWidth="1"/>
    <col min="4" max="4" width="14" customWidth="1"/>
    <col min="5" max="7" width="38" customWidth="1"/>
  </cols>
  <sheetData>
    <row r="1" spans="1:7" ht="26.15" customHeight="1" x14ac:dyDescent="0.35">
      <c r="A1" s="19" t="s">
        <v>11</v>
      </c>
      <c r="B1" s="20"/>
      <c r="C1" s="20"/>
      <c r="D1" s="20"/>
      <c r="E1" s="20"/>
      <c r="F1" s="20"/>
      <c r="G1" s="20"/>
    </row>
    <row r="2" spans="1:7" ht="34" customHeight="1" x14ac:dyDescent="0.35">
      <c r="A2" s="21"/>
      <c r="B2" s="20"/>
      <c r="C2" s="20"/>
      <c r="D2" s="20"/>
      <c r="E2" s="20"/>
      <c r="F2" s="20"/>
      <c r="G2" s="20"/>
    </row>
    <row r="3" spans="1:7" ht="30" customHeight="1" x14ac:dyDescent="0.35">
      <c r="A3" s="6" t="s">
        <v>2</v>
      </c>
      <c r="B3" s="7" t="s">
        <v>12</v>
      </c>
      <c r="C3" s="7" t="s">
        <v>13</v>
      </c>
      <c r="D3" s="8" t="s">
        <v>14</v>
      </c>
      <c r="E3" s="9" t="s">
        <v>15</v>
      </c>
      <c r="F3" s="9" t="s">
        <v>16</v>
      </c>
      <c r="G3" s="9" t="s">
        <v>17</v>
      </c>
    </row>
    <row r="4" spans="1:7" x14ac:dyDescent="0.35">
      <c r="A4" s="1" t="s">
        <v>7</v>
      </c>
      <c r="B4" s="5">
        <f>'Source Scoring'!E11</f>
        <v>49.1</v>
      </c>
      <c r="C4" s="5">
        <f>'Source Scoring'!E5</f>
        <v>46.07</v>
      </c>
      <c r="D4" s="5">
        <f>(0.4*B4)+(0.6*C4)</f>
        <v>47.281999999999996</v>
      </c>
      <c r="E4" s="1"/>
      <c r="F4" s="1" t="str">
        <f t="shared" ref="F4:F6" si="0">IF(AND(D4&gt;=55,D4&lt;60,OR(A4="Rupiah",A4="Inflasi",A4="BI-Rate",A4="Bank Indonesia")),"Crisis Watch","")</f>
        <v/>
      </c>
      <c r="G4" s="1"/>
    </row>
    <row r="5" spans="1:7" x14ac:dyDescent="0.35">
      <c r="A5" s="1" t="s">
        <v>8</v>
      </c>
      <c r="B5" s="5">
        <f>'Source Scoring'!E12</f>
        <v>13.100000000000001</v>
      </c>
      <c r="C5" s="5">
        <f>'Source Scoring'!E6</f>
        <v>46.7</v>
      </c>
      <c r="D5" s="5">
        <f t="shared" ref="D5:D6" si="1">(0.35*B5)+(0.65*C5)</f>
        <v>34.940000000000005</v>
      </c>
      <c r="E5" s="1"/>
      <c r="F5" s="1" t="str">
        <f t="shared" si="0"/>
        <v/>
      </c>
      <c r="G5" s="1"/>
    </row>
    <row r="6" spans="1:7" x14ac:dyDescent="0.35">
      <c r="A6" s="1" t="s">
        <v>9</v>
      </c>
      <c r="B6" s="5">
        <f>'Source Scoring'!E13</f>
        <v>25.889999999999997</v>
      </c>
      <c r="C6" s="5">
        <f>'Source Scoring'!E7</f>
        <v>45.1</v>
      </c>
      <c r="D6" s="5">
        <f t="shared" si="1"/>
        <v>38.3765</v>
      </c>
      <c r="E6" s="1"/>
      <c r="F6" s="1" t="str">
        <f t="shared" si="0"/>
        <v/>
      </c>
      <c r="G6" s="1"/>
    </row>
  </sheetData>
  <autoFilter ref="A3:G6" xr:uid="{00000000-0009-0000-0000-000006000000}"/>
  <mergeCells count="2">
    <mergeCell ref="A1:G1"/>
    <mergeCell ref="A2:G2"/>
  </mergeCells>
  <dataValidations count="1">
    <dataValidation type="decimal" allowBlank="1" sqref="B4:C6" xr:uid="{EF420D71-1CBA-4EC9-B701-2771ECA81C10}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5F9C-7375-4A2C-A2AF-B2C9F92D5364}">
  <dimension ref="B2:E6"/>
  <sheetViews>
    <sheetView workbookViewId="0">
      <selection activeCell="E11" sqref="E11"/>
    </sheetView>
  </sheetViews>
  <sheetFormatPr defaultRowHeight="14.5" x14ac:dyDescent="0.35"/>
  <cols>
    <col min="3" max="3" width="14.1796875" customWidth="1"/>
    <col min="5" max="5" width="19.08984375" customWidth="1"/>
  </cols>
  <sheetData>
    <row r="2" spans="2:5" x14ac:dyDescent="0.35">
      <c r="B2" s="16" t="s">
        <v>26</v>
      </c>
      <c r="C2" s="16" t="s">
        <v>27</v>
      </c>
      <c r="D2" s="16" t="s">
        <v>14</v>
      </c>
      <c r="E2" s="16" t="s">
        <v>25</v>
      </c>
    </row>
    <row r="3" spans="2:5" x14ac:dyDescent="0.35">
      <c r="B3" s="14">
        <v>1</v>
      </c>
      <c r="C3" s="13" t="s">
        <v>18</v>
      </c>
      <c r="D3" s="14" t="s">
        <v>21</v>
      </c>
      <c r="E3" s="17" t="s">
        <v>28</v>
      </c>
    </row>
    <row r="4" spans="2:5" x14ac:dyDescent="0.35">
      <c r="B4" s="14">
        <v>2</v>
      </c>
      <c r="C4" s="13" t="s">
        <v>19</v>
      </c>
      <c r="D4" s="14" t="s">
        <v>24</v>
      </c>
      <c r="E4" s="22" t="s">
        <v>29</v>
      </c>
    </row>
    <row r="5" spans="2:5" x14ac:dyDescent="0.35">
      <c r="B5" s="14">
        <v>3</v>
      </c>
      <c r="C5" s="13" t="s">
        <v>16</v>
      </c>
      <c r="D5" s="14" t="s">
        <v>23</v>
      </c>
      <c r="E5" s="22"/>
    </row>
    <row r="6" spans="2:5" x14ac:dyDescent="0.35">
      <c r="B6" s="14">
        <v>4</v>
      </c>
      <c r="C6" s="13" t="s">
        <v>20</v>
      </c>
      <c r="D6" s="15" t="s">
        <v>22</v>
      </c>
      <c r="E6" s="17" t="s">
        <v>30</v>
      </c>
    </row>
  </sheetData>
  <mergeCells count="1"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GET THINGS DONE!</vt:lpstr>
      <vt:lpstr>Source Scoring</vt:lpstr>
      <vt:lpstr>IIRS Integration</vt:lpstr>
      <vt:lpstr>Indikator EWS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Ridwan Suryo Pranowo</dc:creator>
  <cp:keywords/>
  <dc:description/>
  <cp:lastModifiedBy>Hilmy Mu'Nis</cp:lastModifiedBy>
  <cp:revision/>
  <dcterms:created xsi:type="dcterms:W3CDTF">2026-05-13T08:08:35Z</dcterms:created>
  <dcterms:modified xsi:type="dcterms:W3CDTF">2026-05-13T12:36:42Z</dcterms:modified>
  <cp:category/>
  <cp:contentStatus/>
</cp:coreProperties>
</file>